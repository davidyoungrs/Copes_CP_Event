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young/Desktop/CFT CP meeting 1/celeros-event-app/public/data/"/>
    </mc:Choice>
  </mc:AlternateContent>
  <xr:revisionPtr revIDLastSave="0" documentId="8_{F4F5D4DE-843C-7442-89B1-E31AB5305D9E}" xr6:coauthVersionLast="47" xr6:coauthVersionMax="47" xr10:uidLastSave="{00000000-0000-0000-0000-000000000000}"/>
  <bookViews>
    <workbookView xWindow="0" yWindow="660" windowWidth="30240" windowHeight="18980" xr2:uid="{EF323C95-967C-1441-B022-8AAA733F5383}"/>
  </bookViews>
  <sheets>
    <sheet name="schedu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" i="1" l="1"/>
  <c r="E40" i="1"/>
  <c r="E39" i="1"/>
  <c r="E37" i="1"/>
  <c r="B37" i="1"/>
  <c r="B36" i="1"/>
  <c r="B34" i="1"/>
  <c r="B33" i="1"/>
  <c r="B32" i="1"/>
  <c r="E31" i="1"/>
  <c r="B31" i="1"/>
  <c r="E32" i="1"/>
  <c r="E33" i="1"/>
  <c r="E34" i="1"/>
  <c r="E30" i="1"/>
  <c r="E28" i="1"/>
  <c r="E27" i="1"/>
  <c r="E25" i="1"/>
  <c r="E22" i="1"/>
  <c r="E21" i="1"/>
  <c r="E43" i="1"/>
  <c r="E42" i="1"/>
  <c r="E38" i="1"/>
  <c r="E36" i="1"/>
  <c r="E35" i="1"/>
  <c r="E29" i="1"/>
  <c r="E26" i="1"/>
  <c r="E24" i="1"/>
  <c r="E23" i="1"/>
  <c r="E19" i="1"/>
  <c r="E18" i="1"/>
  <c r="E13" i="1"/>
  <c r="E9" i="1"/>
  <c r="E7" i="1"/>
  <c r="E3" i="1"/>
  <c r="E2" i="1"/>
  <c r="B3" i="1" s="1"/>
  <c r="E11" i="1"/>
  <c r="E20" i="1"/>
  <c r="E17" i="1"/>
  <c r="E16" i="1"/>
  <c r="E15" i="1"/>
  <c r="E14" i="1"/>
  <c r="E12" i="1"/>
  <c r="E10" i="1"/>
  <c r="E8" i="1"/>
  <c r="E6" i="1"/>
  <c r="E5" i="1"/>
  <c r="E4" i="1"/>
  <c r="B38" i="1" l="1"/>
  <c r="B39" i="1" s="1"/>
  <c r="B40" i="1" s="1"/>
  <c r="B41" i="1" s="1"/>
  <c r="B42" i="1" s="1"/>
  <c r="B43" i="1" s="1"/>
  <c r="B23" i="1"/>
  <c r="B24" i="1" s="1"/>
  <c r="B25" i="1" s="1"/>
  <c r="B26" i="1" s="1"/>
  <c r="B27" i="1" s="1"/>
  <c r="B28" i="1" s="1"/>
  <c r="B29" i="1" s="1"/>
  <c r="B30" i="1" s="1"/>
  <c r="B4" i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</calcChain>
</file>

<file path=xl/sharedStrings.xml><?xml version="1.0" encoding="utf-8"?>
<sst xmlns="http://schemas.openxmlformats.org/spreadsheetml/2006/main" count="126" uniqueCount="72">
  <si>
    <t>Day</t>
  </si>
  <si>
    <t>Time</t>
  </si>
  <si>
    <t>Title</t>
  </si>
  <si>
    <t>Location</t>
  </si>
  <si>
    <t>Duration</t>
  </si>
  <si>
    <t>Presenter</t>
  </si>
  <si>
    <t>Avatar</t>
  </si>
  <si>
    <t>IsBreak</t>
  </si>
  <si>
    <t>Tag</t>
  </si>
  <si>
    <t>https://images.unsplash.com/photo-1560250097-0b93528c311a?q=80&amp;w=100&amp;auto=format&amp;fit=crop</t>
  </si>
  <si>
    <t>https://images.unsplash.com/photo-1573496359142-b8d87734a5a2?q=80&amp;w=100&amp;auto=format&amp;fit=crop</t>
  </si>
  <si>
    <t>https://images.unsplash.com/photo-1472099645785-5658abf4ff4e?q=80&amp;w=100&amp;auto=format&amp;fit=crop</t>
  </si>
  <si>
    <t>https://images.unsplash.com/photo-1580489944761-15a19d654956?q=80&amp;w=100&amp;auto=format&amp;fit=crop</t>
  </si>
  <si>
    <t>https://images.unsplash.com/photo-1519085360753-af0119f7cbe7?q=80&amp;w=100&amp;auto=format&amp;fit=crop</t>
  </si>
  <si>
    <t>Welcome, safety moment and Introductions</t>
  </si>
  <si>
    <t>Global Updates &amp; 2026 Outlook</t>
  </si>
  <si>
    <t>2025 - Year in Review</t>
  </si>
  <si>
    <t>Break</t>
  </si>
  <si>
    <t>Factory Healkth Check</t>
  </si>
  <si>
    <t>SAP Improvements/ Delivery Commitment/ OTD</t>
  </si>
  <si>
    <t>Success Story from CP/ RSM</t>
  </si>
  <si>
    <t>Supply Chain Enhancements/ Stocking Program</t>
  </si>
  <si>
    <t xml:space="preserve">Lunch </t>
  </si>
  <si>
    <t>Engineering Updates/ Product Upgrades</t>
  </si>
  <si>
    <t>Trade Compliance</t>
  </si>
  <si>
    <t>Com Ops Improvements</t>
  </si>
  <si>
    <t>Aftermarket</t>
  </si>
  <si>
    <t>Product Mangement</t>
  </si>
  <si>
    <t>Project Management</t>
  </si>
  <si>
    <t>Marketing</t>
  </si>
  <si>
    <t>Round up of the day</t>
  </si>
  <si>
    <t>Fabiana</t>
  </si>
  <si>
    <t>Tommy Kasim</t>
  </si>
  <si>
    <t>Jose Larios</t>
  </si>
  <si>
    <t>Ken Lazzara
Pedro Flores</t>
  </si>
  <si>
    <t>Federico Medina</t>
  </si>
  <si>
    <t>Jeff Lyon</t>
  </si>
  <si>
    <t>CP to decide</t>
  </si>
  <si>
    <t>Yulong Su</t>
  </si>
  <si>
    <t>Raul Almazan</t>
  </si>
  <si>
    <t>Ann Brown</t>
  </si>
  <si>
    <t>Sergio Moscon</t>
  </si>
  <si>
    <t>David Young</t>
  </si>
  <si>
    <t>Pedro Flores</t>
  </si>
  <si>
    <t>Jose Ortiz</t>
  </si>
  <si>
    <t>Registration and Networking</t>
  </si>
  <si>
    <t>Overview of CVK Product</t>
  </si>
  <si>
    <t>CVK/ PRVS</t>
  </si>
  <si>
    <t>Succes Story from Channel Partner</t>
  </si>
  <si>
    <t>Sizing Tool</t>
  </si>
  <si>
    <t>Product/Applications - Feed Water, Recirculation Valve</t>
  </si>
  <si>
    <t>DSCV</t>
  </si>
  <si>
    <t>Desuperheater Overview</t>
  </si>
  <si>
    <t>Welcome / Safety Moment / Question Time</t>
  </si>
  <si>
    <t>Bus to factory</t>
  </si>
  <si>
    <t>Factory Tour</t>
  </si>
  <si>
    <t>Bus back to hotel</t>
  </si>
  <si>
    <t>Lunch</t>
  </si>
  <si>
    <t>Open for meetings</t>
  </si>
  <si>
    <t>Roundup / Thoughts / Catchball</t>
  </si>
  <si>
    <t>Awards</t>
  </si>
  <si>
    <t>Finish</t>
  </si>
  <si>
    <t>Kevin Teygart</t>
  </si>
  <si>
    <t>Ken Lazzara</t>
  </si>
  <si>
    <t>Mark Wheat</t>
  </si>
  <si>
    <t>Meet Hotel Lobby</t>
  </si>
  <si>
    <t>Factory meeting point</t>
  </si>
  <si>
    <t>Meeting Room</t>
  </si>
  <si>
    <t>Hyatt meeting room</t>
  </si>
  <si>
    <t>Hyatt meeting room lobby</t>
  </si>
  <si>
    <t>Hyatt Dining room</t>
  </si>
  <si>
    <t>Westplain Facility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</si>
</sst>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[m]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8" fontId="0" fillId="0" borderId="0" xfId="0" applyNumberFormat="1"/>
    <xf numFmtId="0" fontId="0" fillId="0" borderId="0" xfId="0" applyAlignment="1">
      <alignment wrapText="1"/>
    </xf>
    <xf numFmtId="165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7AD26-CA0F-AF48-8458-254EB86FEC2A}">
  <dimension ref="A1:I43"/>
  <sheetViews>
    <sheetView tabSelected="1" topLeftCell="A7" workbookViewId="0">
      <selection activeCell="H44" sqref="H44"/>
    </sheetView>
  </sheetViews>
  <sheetFormatPr baseColWidth="10" defaultRowHeight="16" x14ac:dyDescent="0.2"/>
  <cols>
    <col min="3" max="3" width="40" bestFit="1" customWidth="1"/>
    <col min="4" max="4" width="22" bestFit="1" customWidth="1"/>
    <col min="5" max="5" width="14" customWidth="1"/>
    <col min="6" max="6" width="18.1640625" customWidth="1"/>
    <col min="7" max="7" width="25.5" customWidth="1"/>
    <col min="8" max="8" width="19.5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">
      <c r="A2">
        <v>1</v>
      </c>
      <c r="B2" s="1">
        <v>0.33333333333333331</v>
      </c>
      <c r="C2" t="s">
        <v>45</v>
      </c>
      <c r="D2" t="s">
        <v>68</v>
      </c>
      <c r="E2" s="3">
        <f>TIME(0,45,0)</f>
        <v>3.125E-2</v>
      </c>
      <c r="F2" t="s">
        <v>31</v>
      </c>
      <c r="G2" t="s">
        <v>9</v>
      </c>
      <c r="H2" t="b">
        <v>1</v>
      </c>
    </row>
    <row r="3" spans="1:9" x14ac:dyDescent="0.2">
      <c r="A3">
        <v>1</v>
      </c>
      <c r="B3" s="1">
        <f>B2+E2</f>
        <v>0.36458333333333331</v>
      </c>
      <c r="C3" t="s">
        <v>14</v>
      </c>
      <c r="D3" t="s">
        <v>68</v>
      </c>
      <c r="E3" s="3">
        <f>TIME(0,15,0)</f>
        <v>1.0416666666666666E-2</v>
      </c>
      <c r="F3" t="s">
        <v>32</v>
      </c>
      <c r="H3" t="b">
        <v>0</v>
      </c>
    </row>
    <row r="4" spans="1:9" x14ac:dyDescent="0.2">
      <c r="A4">
        <v>1</v>
      </c>
      <c r="B4" s="1">
        <f t="shared" ref="B4:B21" si="0">B3+E3</f>
        <v>0.375</v>
      </c>
      <c r="C4" t="s">
        <v>15</v>
      </c>
      <c r="D4" t="s">
        <v>68</v>
      </c>
      <c r="E4" s="3">
        <f t="shared" ref="E4:E43" si="1">TIME(0,30,0)</f>
        <v>2.0833333333333332E-2</v>
      </c>
      <c r="F4" t="s">
        <v>33</v>
      </c>
      <c r="G4" t="s">
        <v>10</v>
      </c>
      <c r="H4" t="b">
        <v>0</v>
      </c>
    </row>
    <row r="5" spans="1:9" ht="34" x14ac:dyDescent="0.2">
      <c r="A5">
        <v>1</v>
      </c>
      <c r="B5" s="1">
        <f t="shared" si="0"/>
        <v>0.39583333333333331</v>
      </c>
      <c r="C5" t="s">
        <v>16</v>
      </c>
      <c r="D5" t="s">
        <v>68</v>
      </c>
      <c r="E5" s="3">
        <f t="shared" si="1"/>
        <v>2.0833333333333332E-2</v>
      </c>
      <c r="F5" s="2" t="s">
        <v>34</v>
      </c>
      <c r="G5" t="s">
        <v>11</v>
      </c>
      <c r="H5" t="b">
        <v>0</v>
      </c>
    </row>
    <row r="6" spans="1:9" x14ac:dyDescent="0.2">
      <c r="A6">
        <v>1</v>
      </c>
      <c r="B6" s="1">
        <f t="shared" si="0"/>
        <v>0.41666666666666663</v>
      </c>
      <c r="C6" t="s">
        <v>17</v>
      </c>
      <c r="D6" t="s">
        <v>69</v>
      </c>
      <c r="E6" s="3">
        <f t="shared" si="1"/>
        <v>2.0833333333333332E-2</v>
      </c>
      <c r="H6" t="b">
        <v>1</v>
      </c>
    </row>
    <row r="7" spans="1:9" x14ac:dyDescent="0.2">
      <c r="A7">
        <v>1</v>
      </c>
      <c r="B7" s="1">
        <f t="shared" si="0"/>
        <v>0.43749999999999994</v>
      </c>
      <c r="C7" t="s">
        <v>18</v>
      </c>
      <c r="D7" t="s">
        <v>68</v>
      </c>
      <c r="E7" s="3">
        <f>TIME(0,15,0)</f>
        <v>1.0416666666666666E-2</v>
      </c>
      <c r="F7" t="s">
        <v>35</v>
      </c>
      <c r="G7" t="s">
        <v>12</v>
      </c>
      <c r="H7" t="b">
        <v>0</v>
      </c>
    </row>
    <row r="8" spans="1:9" x14ac:dyDescent="0.2">
      <c r="A8">
        <v>1</v>
      </c>
      <c r="B8" s="1">
        <f t="shared" si="0"/>
        <v>0.44791666666666663</v>
      </c>
      <c r="C8" t="s">
        <v>19</v>
      </c>
      <c r="D8" t="s">
        <v>68</v>
      </c>
      <c r="E8" s="3">
        <f t="shared" si="1"/>
        <v>2.0833333333333332E-2</v>
      </c>
      <c r="F8" t="s">
        <v>36</v>
      </c>
      <c r="H8" t="b">
        <v>0</v>
      </c>
    </row>
    <row r="9" spans="1:9" x14ac:dyDescent="0.2">
      <c r="A9">
        <v>1</v>
      </c>
      <c r="B9" s="1">
        <f t="shared" si="0"/>
        <v>0.46874999999999994</v>
      </c>
      <c r="C9" t="s">
        <v>20</v>
      </c>
      <c r="D9" t="s">
        <v>68</v>
      </c>
      <c r="E9" s="3">
        <f>TIME(0,15,0)</f>
        <v>1.0416666666666666E-2</v>
      </c>
      <c r="F9" t="s">
        <v>37</v>
      </c>
      <c r="G9" t="s">
        <v>13</v>
      </c>
      <c r="H9" t="b">
        <v>0</v>
      </c>
    </row>
    <row r="10" spans="1:9" x14ac:dyDescent="0.2">
      <c r="A10">
        <v>1</v>
      </c>
      <c r="B10" s="1">
        <f t="shared" si="0"/>
        <v>0.47916666666666663</v>
      </c>
      <c r="C10" t="s">
        <v>21</v>
      </c>
      <c r="D10" t="s">
        <v>68</v>
      </c>
      <c r="E10" s="3">
        <f t="shared" si="1"/>
        <v>2.0833333333333332E-2</v>
      </c>
      <c r="F10" t="s">
        <v>38</v>
      </c>
      <c r="H10" t="b">
        <v>0</v>
      </c>
    </row>
    <row r="11" spans="1:9" x14ac:dyDescent="0.2">
      <c r="A11">
        <v>1</v>
      </c>
      <c r="B11" s="1">
        <f t="shared" si="0"/>
        <v>0.49999999999999994</v>
      </c>
      <c r="C11" t="s">
        <v>22</v>
      </c>
      <c r="D11" t="s">
        <v>70</v>
      </c>
      <c r="E11" s="3">
        <f>TIME(0,60,0)</f>
        <v>4.1666666666666664E-2</v>
      </c>
      <c r="H11" t="b">
        <v>1</v>
      </c>
    </row>
    <row r="12" spans="1:9" x14ac:dyDescent="0.2">
      <c r="A12">
        <v>1</v>
      </c>
      <c r="B12" s="1">
        <f t="shared" si="0"/>
        <v>0.54166666666666663</v>
      </c>
      <c r="C12" t="s">
        <v>23</v>
      </c>
      <c r="D12" t="s">
        <v>68</v>
      </c>
      <c r="E12" s="3">
        <f t="shared" si="1"/>
        <v>2.0833333333333332E-2</v>
      </c>
      <c r="F12" t="s">
        <v>39</v>
      </c>
      <c r="H12" t="b">
        <v>0</v>
      </c>
    </row>
    <row r="13" spans="1:9" x14ac:dyDescent="0.2">
      <c r="A13">
        <v>1</v>
      </c>
      <c r="B13" s="1">
        <f t="shared" si="0"/>
        <v>0.5625</v>
      </c>
      <c r="C13" t="s">
        <v>24</v>
      </c>
      <c r="D13" t="s">
        <v>68</v>
      </c>
      <c r="E13" s="3">
        <f>TIME(0,15,0)</f>
        <v>1.0416666666666666E-2</v>
      </c>
      <c r="F13" t="s">
        <v>40</v>
      </c>
      <c r="H13" t="b">
        <v>0</v>
      </c>
    </row>
    <row r="14" spans="1:9" x14ac:dyDescent="0.2">
      <c r="A14">
        <v>1</v>
      </c>
      <c r="B14" s="1">
        <f t="shared" si="0"/>
        <v>0.57291666666666663</v>
      </c>
      <c r="C14" t="s">
        <v>25</v>
      </c>
      <c r="D14" t="s">
        <v>68</v>
      </c>
      <c r="E14" s="3">
        <f t="shared" si="1"/>
        <v>2.0833333333333332E-2</v>
      </c>
      <c r="F14" t="s">
        <v>41</v>
      </c>
      <c r="H14" t="b">
        <v>0</v>
      </c>
    </row>
    <row r="15" spans="1:9" x14ac:dyDescent="0.2">
      <c r="A15">
        <v>1</v>
      </c>
      <c r="B15" s="1">
        <f t="shared" si="0"/>
        <v>0.59375</v>
      </c>
      <c r="C15" t="s">
        <v>26</v>
      </c>
      <c r="D15" t="s">
        <v>68</v>
      </c>
      <c r="E15" s="3">
        <f t="shared" si="1"/>
        <v>2.0833333333333332E-2</v>
      </c>
      <c r="F15" t="s">
        <v>42</v>
      </c>
      <c r="H15" t="b">
        <v>0</v>
      </c>
    </row>
    <row r="16" spans="1:9" x14ac:dyDescent="0.2">
      <c r="A16">
        <v>1</v>
      </c>
      <c r="B16" s="1">
        <f t="shared" si="0"/>
        <v>0.61458333333333337</v>
      </c>
      <c r="C16" t="s">
        <v>17</v>
      </c>
      <c r="D16" t="s">
        <v>69</v>
      </c>
      <c r="E16" s="3">
        <f t="shared" si="1"/>
        <v>2.0833333333333332E-2</v>
      </c>
      <c r="H16" t="b">
        <v>1</v>
      </c>
    </row>
    <row r="17" spans="1:8" x14ac:dyDescent="0.2">
      <c r="A17">
        <v>1</v>
      </c>
      <c r="B17" s="1">
        <f t="shared" si="0"/>
        <v>0.63541666666666674</v>
      </c>
      <c r="C17" t="s">
        <v>27</v>
      </c>
      <c r="D17" t="s">
        <v>68</v>
      </c>
      <c r="E17" s="3">
        <f t="shared" si="1"/>
        <v>2.0833333333333332E-2</v>
      </c>
      <c r="F17" t="s">
        <v>43</v>
      </c>
      <c r="H17" t="b">
        <v>0</v>
      </c>
    </row>
    <row r="18" spans="1:8" x14ac:dyDescent="0.2">
      <c r="A18">
        <v>1</v>
      </c>
      <c r="B18" s="1">
        <f t="shared" si="0"/>
        <v>0.65625000000000011</v>
      </c>
      <c r="C18" t="s">
        <v>20</v>
      </c>
      <c r="D18" t="s">
        <v>68</v>
      </c>
      <c r="E18" s="3">
        <f>TIME(0,15,0)</f>
        <v>1.0416666666666666E-2</v>
      </c>
      <c r="F18" t="s">
        <v>37</v>
      </c>
      <c r="H18" t="b">
        <v>0</v>
      </c>
    </row>
    <row r="19" spans="1:8" x14ac:dyDescent="0.2">
      <c r="A19">
        <v>1</v>
      </c>
      <c r="B19" s="1">
        <f t="shared" si="0"/>
        <v>0.66666666666666674</v>
      </c>
      <c r="C19" t="s">
        <v>28</v>
      </c>
      <c r="D19" t="s">
        <v>68</v>
      </c>
      <c r="E19" s="3">
        <f>TIME(0,15,0)</f>
        <v>1.0416666666666666E-2</v>
      </c>
      <c r="F19" t="s">
        <v>44</v>
      </c>
      <c r="H19" t="b">
        <v>0</v>
      </c>
    </row>
    <row r="20" spans="1:8" x14ac:dyDescent="0.2">
      <c r="A20">
        <v>1</v>
      </c>
      <c r="B20" s="1">
        <f t="shared" si="0"/>
        <v>0.67708333333333337</v>
      </c>
      <c r="C20" t="s">
        <v>29</v>
      </c>
      <c r="D20" t="s">
        <v>68</v>
      </c>
      <c r="E20" s="3">
        <f t="shared" si="1"/>
        <v>2.0833333333333332E-2</v>
      </c>
      <c r="F20" t="s">
        <v>31</v>
      </c>
      <c r="H20" t="b">
        <v>0</v>
      </c>
    </row>
    <row r="21" spans="1:8" ht="34" x14ac:dyDescent="0.2">
      <c r="A21">
        <v>1</v>
      </c>
      <c r="B21" s="1">
        <f t="shared" si="0"/>
        <v>0.69791666666666674</v>
      </c>
      <c r="C21" t="s">
        <v>30</v>
      </c>
      <c r="D21" t="s">
        <v>68</v>
      </c>
      <c r="E21" s="3">
        <f>TIME(0,45,0)</f>
        <v>3.125E-2</v>
      </c>
      <c r="F21" s="2" t="s">
        <v>34</v>
      </c>
      <c r="H21" t="b">
        <v>0</v>
      </c>
    </row>
    <row r="22" spans="1:8" x14ac:dyDescent="0.2">
      <c r="A22">
        <v>2</v>
      </c>
      <c r="B22" s="1">
        <v>0.33333333333333331</v>
      </c>
      <c r="C22" t="s">
        <v>14</v>
      </c>
      <c r="D22" t="s">
        <v>68</v>
      </c>
      <c r="E22" s="3">
        <f>TIME(0,45,0)</f>
        <v>3.125E-2</v>
      </c>
      <c r="F22" t="s">
        <v>31</v>
      </c>
      <c r="H22" t="b">
        <v>1</v>
      </c>
    </row>
    <row r="23" spans="1:8" x14ac:dyDescent="0.2">
      <c r="A23">
        <v>2</v>
      </c>
      <c r="B23" s="1">
        <f t="shared" ref="B23:B43" si="2">B22+E22</f>
        <v>0.36458333333333331</v>
      </c>
      <c r="C23" t="s">
        <v>46</v>
      </c>
      <c r="D23" t="s">
        <v>68</v>
      </c>
      <c r="E23" s="3">
        <f t="shared" si="1"/>
        <v>2.0833333333333332E-2</v>
      </c>
      <c r="F23" t="s">
        <v>43</v>
      </c>
      <c r="H23" t="b">
        <v>0</v>
      </c>
    </row>
    <row r="24" spans="1:8" x14ac:dyDescent="0.2">
      <c r="A24">
        <v>2</v>
      </c>
      <c r="B24" s="1">
        <f t="shared" si="2"/>
        <v>0.38541666666666663</v>
      </c>
      <c r="C24" t="s">
        <v>47</v>
      </c>
      <c r="D24" t="s">
        <v>68</v>
      </c>
      <c r="E24" s="3">
        <f t="shared" si="1"/>
        <v>2.0833333333333332E-2</v>
      </c>
      <c r="F24" t="s">
        <v>43</v>
      </c>
      <c r="H24" t="b">
        <v>0</v>
      </c>
    </row>
    <row r="25" spans="1:8" ht="17" x14ac:dyDescent="0.2">
      <c r="A25">
        <v>2</v>
      </c>
      <c r="B25" s="1">
        <f t="shared" si="2"/>
        <v>0.40624999999999994</v>
      </c>
      <c r="C25" s="2" t="s">
        <v>48</v>
      </c>
      <c r="D25" t="s">
        <v>68</v>
      </c>
      <c r="E25" s="3">
        <f>TIME(0,15,0)</f>
        <v>1.0416666666666666E-2</v>
      </c>
      <c r="F25" t="s">
        <v>37</v>
      </c>
      <c r="H25" t="b">
        <v>0</v>
      </c>
    </row>
    <row r="26" spans="1:8" x14ac:dyDescent="0.2">
      <c r="A26">
        <v>2</v>
      </c>
      <c r="B26" s="1">
        <f t="shared" si="2"/>
        <v>0.41666666666666663</v>
      </c>
      <c r="C26" t="s">
        <v>17</v>
      </c>
      <c r="D26" t="s">
        <v>69</v>
      </c>
      <c r="E26" s="3">
        <f t="shared" si="1"/>
        <v>2.0833333333333332E-2</v>
      </c>
      <c r="H26" t="b">
        <v>1</v>
      </c>
    </row>
    <row r="27" spans="1:8" x14ac:dyDescent="0.2">
      <c r="A27">
        <v>2</v>
      </c>
      <c r="B27" s="1">
        <f t="shared" si="2"/>
        <v>0.43749999999999994</v>
      </c>
      <c r="C27" t="s">
        <v>49</v>
      </c>
      <c r="D27" t="s">
        <v>68</v>
      </c>
      <c r="E27" s="3">
        <f>TIME(0,120,0)</f>
        <v>8.3333333333333329E-2</v>
      </c>
      <c r="F27" t="s">
        <v>62</v>
      </c>
      <c r="H27" t="b">
        <v>0</v>
      </c>
    </row>
    <row r="28" spans="1:8" x14ac:dyDescent="0.2">
      <c r="A28">
        <v>2</v>
      </c>
      <c r="B28" s="1">
        <f t="shared" si="2"/>
        <v>0.52083333333333326</v>
      </c>
      <c r="C28" t="s">
        <v>22</v>
      </c>
      <c r="D28" t="s">
        <v>70</v>
      </c>
      <c r="E28" s="3">
        <f>TIME(0,60,0)</f>
        <v>4.1666666666666664E-2</v>
      </c>
      <c r="H28" t="b">
        <v>1</v>
      </c>
    </row>
    <row r="29" spans="1:8" x14ac:dyDescent="0.2">
      <c r="A29">
        <v>2</v>
      </c>
      <c r="B29" s="1">
        <f t="shared" si="2"/>
        <v>0.56249999999999989</v>
      </c>
      <c r="C29" t="s">
        <v>50</v>
      </c>
      <c r="D29" t="s">
        <v>68</v>
      </c>
      <c r="E29" s="3">
        <f t="shared" si="1"/>
        <v>2.0833333333333332E-2</v>
      </c>
      <c r="F29" t="s">
        <v>63</v>
      </c>
      <c r="H29" t="b">
        <v>0</v>
      </c>
    </row>
    <row r="30" spans="1:8" x14ac:dyDescent="0.2">
      <c r="A30">
        <v>2</v>
      </c>
      <c r="B30" s="1">
        <f t="shared" si="2"/>
        <v>0.58333333333333326</v>
      </c>
      <c r="C30" t="s">
        <v>51</v>
      </c>
      <c r="D30" t="s">
        <v>68</v>
      </c>
      <c r="E30" s="3">
        <f>TIME(0,60,0)</f>
        <v>4.1666666666666664E-2</v>
      </c>
      <c r="F30" t="s">
        <v>64</v>
      </c>
      <c r="H30" t="b">
        <v>0</v>
      </c>
    </row>
    <row r="31" spans="1:8" x14ac:dyDescent="0.2">
      <c r="A31">
        <v>2</v>
      </c>
      <c r="B31" s="1">
        <f t="shared" si="2"/>
        <v>0.62499999999999989</v>
      </c>
      <c r="C31" t="s">
        <v>17</v>
      </c>
      <c r="D31" t="s">
        <v>69</v>
      </c>
      <c r="E31" s="3">
        <f t="shared" si="1"/>
        <v>2.0833333333333332E-2</v>
      </c>
      <c r="H31" t="b">
        <v>1</v>
      </c>
    </row>
    <row r="32" spans="1:8" x14ac:dyDescent="0.2">
      <c r="A32">
        <v>2</v>
      </c>
      <c r="B32" s="1">
        <f t="shared" si="2"/>
        <v>0.64583333333333326</v>
      </c>
      <c r="C32" t="s">
        <v>52</v>
      </c>
      <c r="D32" t="s">
        <v>68</v>
      </c>
      <c r="E32" s="3">
        <f>TIME(0,60,0)</f>
        <v>4.1666666666666664E-2</v>
      </c>
      <c r="F32" t="s">
        <v>62</v>
      </c>
      <c r="H32" t="b">
        <v>0</v>
      </c>
    </row>
    <row r="33" spans="1:8" ht="17" x14ac:dyDescent="0.2">
      <c r="A33">
        <v>2</v>
      </c>
      <c r="B33" s="1">
        <f t="shared" si="2"/>
        <v>0.68749999999999989</v>
      </c>
      <c r="C33" s="2" t="s">
        <v>48</v>
      </c>
      <c r="D33" t="s">
        <v>68</v>
      </c>
      <c r="E33" s="3">
        <f>TIME(0,15,0)</f>
        <v>1.0416666666666666E-2</v>
      </c>
      <c r="F33" t="s">
        <v>37</v>
      </c>
      <c r="H33" t="b">
        <v>0</v>
      </c>
    </row>
    <row r="34" spans="1:8" x14ac:dyDescent="0.2">
      <c r="A34">
        <v>2</v>
      </c>
      <c r="B34" s="1">
        <f t="shared" si="2"/>
        <v>0.69791666666666652</v>
      </c>
      <c r="C34" t="s">
        <v>30</v>
      </c>
      <c r="D34" t="s">
        <v>68</v>
      </c>
      <c r="E34" s="3">
        <f>TIME(0,30,0)</f>
        <v>2.0833333333333332E-2</v>
      </c>
      <c r="F34" t="s">
        <v>31</v>
      </c>
      <c r="H34" t="b">
        <v>0</v>
      </c>
    </row>
    <row r="35" spans="1:8" ht="17" x14ac:dyDescent="0.2">
      <c r="A35">
        <v>3</v>
      </c>
      <c r="B35" s="1">
        <v>0.33333333333333331</v>
      </c>
      <c r="C35" s="2" t="s">
        <v>53</v>
      </c>
      <c r="E35" s="3">
        <f t="shared" si="1"/>
        <v>2.0833333333333332E-2</v>
      </c>
      <c r="H35" t="b">
        <v>1</v>
      </c>
    </row>
    <row r="36" spans="1:8" ht="17" x14ac:dyDescent="0.2">
      <c r="A36">
        <v>3</v>
      </c>
      <c r="B36" s="1">
        <f t="shared" si="2"/>
        <v>0.35416666666666663</v>
      </c>
      <c r="C36" s="2" t="s">
        <v>54</v>
      </c>
      <c r="D36" t="s">
        <v>65</v>
      </c>
      <c r="E36" s="3">
        <f t="shared" si="1"/>
        <v>2.0833333333333332E-2</v>
      </c>
      <c r="H36" t="b">
        <v>0</v>
      </c>
    </row>
    <row r="37" spans="1:8" ht="17" x14ac:dyDescent="0.2">
      <c r="A37">
        <v>3</v>
      </c>
      <c r="B37" s="1">
        <f t="shared" si="2"/>
        <v>0.37499999999999994</v>
      </c>
      <c r="C37" s="2" t="s">
        <v>55</v>
      </c>
      <c r="D37" t="s">
        <v>71</v>
      </c>
      <c r="E37" s="3">
        <f>TIME(0,150,0)</f>
        <v>0.10416666666666667</v>
      </c>
      <c r="H37" t="b">
        <v>0</v>
      </c>
    </row>
    <row r="38" spans="1:8" ht="17" x14ac:dyDescent="0.2">
      <c r="A38">
        <v>3</v>
      </c>
      <c r="B38" s="1">
        <f t="shared" si="2"/>
        <v>0.47916666666666663</v>
      </c>
      <c r="C38" s="2" t="s">
        <v>56</v>
      </c>
      <c r="D38" t="s">
        <v>66</v>
      </c>
      <c r="E38" s="3">
        <f t="shared" si="1"/>
        <v>2.0833333333333332E-2</v>
      </c>
      <c r="H38" t="b">
        <v>0</v>
      </c>
    </row>
    <row r="39" spans="1:8" ht="17" x14ac:dyDescent="0.2">
      <c r="A39">
        <v>3</v>
      </c>
      <c r="B39" s="1">
        <f t="shared" si="2"/>
        <v>0.49999999999999994</v>
      </c>
      <c r="C39" s="2" t="s">
        <v>57</v>
      </c>
      <c r="D39" t="s">
        <v>69</v>
      </c>
      <c r="E39" s="3">
        <f>TIME(0,60,0)</f>
        <v>4.1666666666666664E-2</v>
      </c>
      <c r="H39" t="b">
        <v>1</v>
      </c>
    </row>
    <row r="40" spans="1:8" ht="17" x14ac:dyDescent="0.2">
      <c r="A40">
        <v>3</v>
      </c>
      <c r="B40" s="1">
        <f t="shared" si="2"/>
        <v>0.54166666666666663</v>
      </c>
      <c r="C40" s="2" t="s">
        <v>58</v>
      </c>
      <c r="D40" t="s">
        <v>67</v>
      </c>
      <c r="E40" s="3">
        <f>TIME(0,105,0)</f>
        <v>7.2916666666666671E-2</v>
      </c>
      <c r="H40" t="b">
        <v>0</v>
      </c>
    </row>
    <row r="41" spans="1:8" ht="17" x14ac:dyDescent="0.2">
      <c r="A41">
        <v>3</v>
      </c>
      <c r="B41" s="1">
        <f t="shared" si="2"/>
        <v>0.61458333333333326</v>
      </c>
      <c r="C41" s="2" t="s">
        <v>59</v>
      </c>
      <c r="D41" t="s">
        <v>67</v>
      </c>
      <c r="E41" s="3">
        <f>TIME(0,45,0)</f>
        <v>3.125E-2</v>
      </c>
      <c r="F41" t="s">
        <v>43</v>
      </c>
      <c r="H41" t="b">
        <v>0</v>
      </c>
    </row>
    <row r="42" spans="1:8" ht="17" x14ac:dyDescent="0.2">
      <c r="A42">
        <v>3</v>
      </c>
      <c r="B42" s="1">
        <f t="shared" si="2"/>
        <v>0.64583333333333326</v>
      </c>
      <c r="C42" s="2" t="s">
        <v>60</v>
      </c>
      <c r="D42" t="s">
        <v>67</v>
      </c>
      <c r="E42" s="3">
        <f t="shared" si="1"/>
        <v>2.0833333333333332E-2</v>
      </c>
      <c r="F42" t="s">
        <v>63</v>
      </c>
      <c r="H42" t="b">
        <v>0</v>
      </c>
    </row>
    <row r="43" spans="1:8" ht="17" x14ac:dyDescent="0.2">
      <c r="A43">
        <v>3</v>
      </c>
      <c r="B43" s="1">
        <f t="shared" si="2"/>
        <v>0.66666666666666663</v>
      </c>
      <c r="C43" s="2" t="s">
        <v>61</v>
      </c>
      <c r="D43" t="s">
        <v>67</v>
      </c>
      <c r="E43" s="3">
        <f t="shared" si="1"/>
        <v>2.0833333333333332E-2</v>
      </c>
      <c r="H43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Young</dc:creator>
  <cp:lastModifiedBy>David Young</cp:lastModifiedBy>
  <dcterms:created xsi:type="dcterms:W3CDTF">2026-02-27T18:33:47Z</dcterms:created>
  <dcterms:modified xsi:type="dcterms:W3CDTF">2026-02-27T18:33:59Z</dcterms:modified>
</cp:coreProperties>
</file>